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17"/>
  <workbookPr codeName="ThisWorkbook" defaultThemeVersion="166925"/>
  <mc:AlternateContent xmlns:mc="http://schemas.openxmlformats.org/markup-compatibility/2006">
    <mc:Choice Requires="x15">
      <x15ac:absPath xmlns:x15ac="http://schemas.microsoft.com/office/spreadsheetml/2010/11/ac" url="D:\Repositories\Excel-Challenge-And-Solution\Solutions\"/>
    </mc:Choice>
  </mc:AlternateContent>
  <xr:revisionPtr revIDLastSave="0" documentId="13_ncr:1_{F0AC76D5-A93C-4219-8712-183880E7B685}" xr6:coauthVersionLast="47" xr6:coauthVersionMax="47" xr10:uidLastSave="{00000000-0000-0000-0000-000000000000}"/>
  <bookViews>
    <workbookView xWindow="-110" yWindow="-110" windowWidth="34620" windowHeight="14020" tabRatio="847" firstSheet="15" activeTab="19" xr2:uid="{361155FD-7C3B-4245-8BBE-CCF9CEEDA799}"/>
  </bookViews>
  <sheets>
    <sheet name="Welcome" sheetId="27" r:id="rId1"/>
    <sheet name="Overview" sheetId="1" r:id="rId2"/>
    <sheet name="Problem" sheetId="28" r:id="rId3"/>
    <sheet name="Md Ismail Hosen" sheetId="3" r:id="rId4"/>
    <sheet name="Sergei Baklan" sheetId="4" r:id="rId5"/>
    <sheet name="Rick Rothstein" sheetId="5" r:id="rId6"/>
    <sheet name="John Jairo V." sheetId="6" r:id="rId7"/>
    <sheet name="Félix Miguel Rojas Arroyo" sheetId="7" r:id="rId8"/>
    <sheet name="Rajesh Sinha" sheetId="8" r:id="rId9"/>
    <sheet name="Muhammad Waqas Khan" sheetId="9" r:id="rId10"/>
    <sheet name="Wojciech B" sheetId="10" r:id="rId11"/>
    <sheet name="Owen Price" sheetId="11" r:id="rId12"/>
    <sheet name="Hakeem Lawrence, MSBA " sheetId="12" r:id="rId13"/>
    <sheet name="Udit Kumar Chatterjee" sheetId="13" r:id="rId14"/>
    <sheet name="Faraz Ahmed Qureshi" sheetId="14" r:id="rId15"/>
    <sheet name="Daniel Madhadha" sheetId="15" r:id="rId16"/>
    <sheet name="João Evangelista da Silva Santo" sheetId="16" r:id="rId17"/>
    <sheet name="Jennifer Quack" sheetId="17" r:id="rId18"/>
    <sheet name="Navid Esmaeilzadeh" sheetId="18" r:id="rId19"/>
    <sheet name="Muhammad Nauman" sheetId="19" r:id="rId20"/>
    <sheet name="Miguel Angel Franco García" sheetId="20" r:id="rId21"/>
    <sheet name="Jardiel Euflázio" sheetId="21" r:id="rId22"/>
    <sheet name="Moahmed Helmy" sheetId="22" r:id="rId23"/>
    <sheet name="Yasir Ali Khan" sheetId="23" r:id="rId24"/>
    <sheet name="Aditya Kumar Darak" sheetId="24" r:id="rId25"/>
    <sheet name="Tolga Demirci" sheetId="25" r:id="rId26"/>
    <sheet name="Juliano Santos Lima" sheetId="26" r:id="rId27"/>
  </sheets>
  <externalReferences>
    <externalReference r:id="rId28"/>
  </externalReferences>
  <definedNames>
    <definedName name="_xlnm._FilterDatabase" localSheetId="2" hidden="1">Problem!$A$1:$B$19</definedName>
    <definedName name="_xlpm.CountResult" hidden="1" xlm="1">#NAME?</definedName>
    <definedName name="_xlpm.InText" hidden="1" xlm="1">#NAME?</definedName>
    <definedName name="_xlpm.IsTwoWord" hidden="1" xlm="1">#NAME?</definedName>
    <definedName name="_xlpm.LenDiffAfterRemovingSpace" hidden="1" xlm="1">#NAME?</definedName>
    <definedName name="_xlpm.LenDiffOneCheck" hidden="1" xlm="1">#NAME?</definedName>
    <definedName name="_xlpm.NameVector" hidden="1" xlm="1">#NAME?</definedName>
    <definedName name="_xlpm.ONE_SPACE_PATTERN" hidden="1" xlm="1">#NAME?</definedName>
    <definedName name="_xlpm.PATTERN" hidden="1" xlm="1">#NAME?</definedName>
    <definedName name="_xlpm.r" hidden="1" xlm="1">#NAME?</definedName>
    <definedName name="_xlpm.Result" hidden="1" xlm="1">#NAME?</definedName>
    <definedName name="_xlpm.TWO_SPACE_PATTERN" hidden="1" xlm="1">#NAME?</definedName>
    <definedName name="_xlpm.TwoWordChecker" hidden="1" xlm="1">#NAME?</definedName>
    <definedName name="_xlpm.TwoWordNames" hidden="1" xlm="1">#NAME?</definedName>
    <definedName name="CategoryList">[1]!CategoryListTable[Category]</definedName>
    <definedName name="ExternalData_1" localSheetId="13" hidden="1">'Udit Kumar Chatterjee'!$D$5:$D$6</definedName>
    <definedName name="UnitList">[1]!UnitTable[Unit]</definedName>
    <definedName name="VariationList">[1]!VariationListTable[Variation Name]</definedName>
  </definedNames>
  <calcPr calcId="191029" calcMode="manual"/>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 i="11" l="1" a="1"/>
  <c r="B4" i="11" s="1"/>
  <c r="L20" i="28" a="1"/>
  <c r="L20" i="28" s="1"/>
  <c r="B4" i="9" l="1" a="1"/>
  <c r="B4" i="9"/>
  <c r="B4" i="6" a="1"/>
  <c r="B4" i="6" s="1"/>
  <c r="B4" i="5" a="1"/>
  <c r="B4" i="5" s="1"/>
  <c r="B4" i="4" a="1"/>
  <c r="B4" i="4" s="1"/>
  <c r="B4" i="3" a="1"/>
  <c r="B4" i="3" s="1"/>
  <c r="N2" i="2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CF948B-C4A1-4B76-A20D-329634FC508D}" keepAlive="1" name="Query - Query_Udit" description="Connection to the 'Query_Udit' query in the workbook." type="5" refreshedVersion="8" background="1" saveData="1">
    <dbPr connection="Provider=Microsoft.Mashup.OleDb.1;Data Source=$Workbook$;Location=Query_Udit;Extended Properties=&quot;&quot;" command="SELECT * FROM [Query_Udi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<sst xmlns="http://schemas.openxmlformats.org/spreadsheetml/2006/main" count="169" uniqueCount="96">
  <si>
    <t>Solution Provider</t>
  </si>
  <si>
    <t>Profile</t>
  </si>
  <si>
    <t>https://www.linkedin.com/in/baklan/</t>
  </si>
  <si>
    <t>Sergei Baklan</t>
  </si>
  <si>
    <t>Rick Rothstein</t>
  </si>
  <si>
    <t>https://www.linkedin.com/in/rick-rothstein-a8b814201/</t>
  </si>
  <si>
    <t>John Jairo V.</t>
  </si>
  <si>
    <t>https://www.linkedin.com/in/johnjairovergarad/</t>
  </si>
  <si>
    <t>Félix Miguel Rojas Arroyo</t>
  </si>
  <si>
    <t>https://www.linkedin.com/in/miguelrojasa/</t>
  </si>
  <si>
    <t>https://www.linkedin.com/in/rajesh-sinha-76315913/</t>
  </si>
  <si>
    <t>Rajesh Sinha</t>
  </si>
  <si>
    <t>https://www.linkedin.com/in/thewaqaskhan/</t>
  </si>
  <si>
    <t>Muhammad Waqas Khan</t>
  </si>
  <si>
    <t>Wojciech B</t>
  </si>
  <si>
    <t>https://www.linkedin.com/in/wojciech-b-excel/</t>
  </si>
  <si>
    <t>https://www.linkedin.com/in/owenhprice/</t>
  </si>
  <si>
    <t>Owen Price</t>
  </si>
  <si>
    <t xml:space="preserve">Hakeem Lawrence, MSBA </t>
  </si>
  <si>
    <t>https://www.linkedin.com/in/hakeemlawrence/</t>
  </si>
  <si>
    <t>Udit Kumar Chatterjee</t>
  </si>
  <si>
    <t>https://www.linkedin.com/in/uditkumarchatterjee/</t>
  </si>
  <si>
    <t>https://www.linkedin.com/in/farazahmedqureshi/</t>
  </si>
  <si>
    <t>Faraz Ahmed Qureshi</t>
  </si>
  <si>
    <t>Daniel Madhadha</t>
  </si>
  <si>
    <t>https://www.linkedin.com/in/daniel-madhadha-3b39a921/</t>
  </si>
  <si>
    <t>https://www.linkedin.com/in/jo%C3%A3o-evangelista-dov/</t>
  </si>
  <si>
    <t>João Evangelista da Silva Santos</t>
  </si>
  <si>
    <t>https://www.linkedin.com/in/jennifer-quack/</t>
  </si>
  <si>
    <t>Jennifer Quack</t>
  </si>
  <si>
    <t>https://www.linkedin.com/in/navid-esmaeilzadeh-a4a25a200/</t>
  </si>
  <si>
    <t>Navid Esmaeilzadeh</t>
  </si>
  <si>
    <t>https://www.linkedin.com/in/muhammad-nauman-55b17815b/</t>
  </si>
  <si>
    <t>Muhammad Nauman</t>
  </si>
  <si>
    <t>https://www.linkedin.com/in/mundoexcelmfg/</t>
  </si>
  <si>
    <t>Miguel Angel Franco García</t>
  </si>
  <si>
    <t>https://www.linkedin.com/in/jardieleufl%C3%A1zio/</t>
  </si>
  <si>
    <t>Jardiel Euflázio</t>
  </si>
  <si>
    <t>https://www.linkedin.com/in/%D9%85%D8%AD%D9%85%D8%AF-%D8%AD%D9%84%D9%85%D9%8A-014934198/</t>
  </si>
  <si>
    <t>https://www.linkedin.com/in/yasir-ali-khan-745a2b57/</t>
  </si>
  <si>
    <t>Yasir Ali Khan</t>
  </si>
  <si>
    <t>https://www.linkedin.com/in/aditya-darak/</t>
  </si>
  <si>
    <t>Aditya Kumar Darak</t>
  </si>
  <si>
    <t>https://www.linkedin.com/in/tolga-demirci-civil/</t>
  </si>
  <si>
    <t>Tolga Demirci</t>
  </si>
  <si>
    <t>https://www.linkedin.com/in/juliano-santos-lima-3a827224/</t>
  </si>
  <si>
    <t>Juliano Santos Lima</t>
  </si>
  <si>
    <t>Md Ismail Hosen</t>
  </si>
  <si>
    <t>https://www.linkedin.com/in/md-ismail-hosen-b77500135/</t>
  </si>
  <si>
    <t>João Evangelista da Silva Santo</t>
  </si>
  <si>
    <t>Sheet</t>
  </si>
  <si>
    <t>Moahmed Helmy</t>
  </si>
  <si>
    <t>Md. Ismail Hosen</t>
  </si>
  <si>
    <t>Freelance Excel Developer</t>
  </si>
  <si>
    <t xml:space="preserve">  Email</t>
  </si>
  <si>
    <t xml:space="preserve"> LinkedIn</t>
  </si>
  <si>
    <t xml:space="preserve"> Facebook</t>
  </si>
  <si>
    <t>Youtube</t>
  </si>
  <si>
    <t>Website</t>
  </si>
  <si>
    <t>Formula</t>
  </si>
  <si>
    <t>Name</t>
  </si>
  <si>
    <t>Two Words Name</t>
  </si>
  <si>
    <t>Total Count</t>
  </si>
  <si>
    <t>Paul Hughes</t>
  </si>
  <si>
    <t>Zachary</t>
  </si>
  <si>
    <t>Alan Murphy</t>
  </si>
  <si>
    <t>Harold Cruz</t>
  </si>
  <si>
    <t>Ralph Gutierrez M.</t>
  </si>
  <si>
    <t>Russell Mendoza</t>
  </si>
  <si>
    <t>Frank Chavez</t>
  </si>
  <si>
    <t>Donald V. Nelson</t>
  </si>
  <si>
    <t>Jonathan Martinez</t>
  </si>
  <si>
    <t>Billy Jean King</t>
  </si>
  <si>
    <t>Paul Scott</t>
  </si>
  <si>
    <t>Carl Miller</t>
  </si>
  <si>
    <t>Jeffrey</t>
  </si>
  <si>
    <t>Frank Misla Lopez</t>
  </si>
  <si>
    <t>Anthony</t>
  </si>
  <si>
    <t>George</t>
  </si>
  <si>
    <t>K. Raymond Rodriguez</t>
  </si>
  <si>
    <t>Laura Shell Wagner</t>
  </si>
  <si>
    <t>Challenge Link</t>
  </si>
  <si>
    <t>Practice File Link</t>
  </si>
  <si>
    <t>Excel Challenge 1</t>
  </si>
  <si>
    <t>https://lnkd.in/gcSHvCSG</t>
  </si>
  <si>
    <t>This formula first counts 2 space instance and 3 space instance. And 3 space instance will be included in the 2 space one as well. So subtract them and that's why * {1:-1}</t>
  </si>
  <si>
    <t>This formula has a cool learning and that is matrix multiplication. Let's say you have an array of two rows (10;20) and you want to subtract them. So instead of using Index to get the first itme and then the second item and then subtract use the SUM function by multiplying with {1;-1}</t>
  </si>
  <si>
    <t>This formula shows you how to use constant in the formula as well as how to count 2 spaces but not three spaces using COUNTIFS.</t>
  </si>
  <si>
    <t>This formula will show you on how to use the LEN And SUBSTITUTE Functions when the input is an array.</t>
  </si>
  <si>
    <t>This formula will show you how to use TEXTSPLIT to count word and match with a criteria.</t>
  </si>
  <si>
    <t>This formula will show you how to use FILTER to filter out the valid data and then Count using ROWS function.</t>
  </si>
  <si>
    <t>Data For Power Query</t>
  </si>
  <si>
    <t>Query_Udit</t>
  </si>
  <si>
    <t>Power Query</t>
  </si>
  <si>
    <t>This solution split each word by space and count word and filter for 2 word only.</t>
  </si>
  <si>
    <t>This formula will show you how to use -- to convert TRUE And FALSE to 1 and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</si>
</sst>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u/>
      <sz val="11"/>
      <color theme="10"/>
      <name val="Calibri"/>
      <family val="2"/>
      <scheme val="minor"/>
    </font>
    <font>
      <sz val="11"/>
      <color theme="1"/>
      <name val="Aptos"/>
      <family val="2"/>
    </font>
    <font>
      <u/>
      <sz val="11"/>
      <color theme="10"/>
      <name val="Aptos"/>
      <family val="2"/>
    </font>
    <font>
      <sz val="14"/>
      <color theme="1"/>
      <name val="Calibri"/>
      <family val="2"/>
      <scheme val="minor"/>
    </font>
    <font>
      <sz val="11"/>
      <color theme="6" tint="0.39997558519241921"/>
      <name val="Calibri"/>
      <family val="2"/>
      <scheme val="minor"/>
    </font>
    <font>
      <b/>
      <i/>
      <sz val="18"/>
      <color theme="1" tint="4.9989318521683403E-2"/>
      <name val="Calibri"/>
      <family val="2"/>
      <scheme val="minor"/>
    </font>
    <font>
      <b/>
      <sz val="18"/>
      <name val="Calibri"/>
      <family val="2"/>
      <scheme val="minor"/>
    </font>
    <font>
      <b/>
      <i/>
      <u/>
      <sz val="17"/>
      <color rgb="FF0070C0"/>
      <name val="Lucida Calligraphy"/>
      <family val="4"/>
    </font>
    <font>
      <b/>
      <i/>
      <u/>
      <sz val="15"/>
      <color rgb="FF0070C0"/>
      <name val="Lucida Calligraphy"/>
      <family val="4"/>
    </font>
    <font>
      <b/>
      <i/>
      <u/>
      <sz val="15"/>
      <color theme="10"/>
      <name val="Lucida Calligraphy"/>
      <family val="4"/>
    </font>
    <font>
      <b/>
      <sz val="12"/>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rgb="FF92D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17">
    <xf numFmtId="0" fontId="0" fillId="0" borderId="0" xfId="0"/>
    <xf numFmtId="0" fontId="1" fillId="0" borderId="0" xfId="1"/>
    <xf numFmtId="0" fontId="2" fillId="0" borderId="0" xfId="0" applyFont="1"/>
    <xf numFmtId="0" fontId="3" fillId="0" borderId="0" xfId="1" applyFont="1"/>
    <xf numFmtId="0" fontId="4" fillId="0" borderId="0" xfId="0" applyFont="1"/>
    <xf numFmtId="0" fontId="5" fillId="2" borderId="0" xfId="0" applyFont="1" applyFill="1"/>
    <xf numFmtId="0" fontId="0" fillId="2" borderId="0" xfId="0" applyFill="1"/>
    <xf numFmtId="0" fontId="6" fillId="2" borderId="0" xfId="0" applyFont="1" applyFill="1" applyAlignment="1">
      <alignment vertical="top"/>
    </xf>
    <xf numFmtId="0" fontId="7" fillId="2" borderId="0" xfId="0" applyFont="1" applyFill="1" applyAlignment="1">
      <alignment horizontal="center" vertical="center"/>
    </xf>
    <xf numFmtId="0" fontId="8" fillId="2" borderId="0" xfId="1" applyFont="1" applyFill="1" applyBorder="1" applyAlignment="1">
      <alignment horizontal="center" vertical="center"/>
    </xf>
    <xf numFmtId="0" fontId="9" fillId="2" borderId="0" xfId="1" applyFont="1" applyFill="1" applyBorder="1" applyAlignment="1">
      <alignment horizontal="center" vertical="center"/>
    </xf>
    <xf numFmtId="0" fontId="10" fillId="2" borderId="0" xfId="1" applyFont="1" applyFill="1" applyBorder="1" applyAlignment="1">
      <alignment horizontal="center" vertical="center"/>
    </xf>
    <xf numFmtId="0" fontId="11" fillId="3" borderId="0" xfId="0" applyFont="1" applyFill="1"/>
    <xf numFmtId="0" fontId="12" fillId="0" borderId="0" xfId="0" applyFont="1"/>
    <xf numFmtId="0" fontId="12" fillId="0" borderId="1" xfId="0" applyFont="1" applyBorder="1"/>
    <xf numFmtId="0" fontId="1" fillId="0" borderId="1" xfId="1" applyBorder="1"/>
    <xf numFmtId="0" fontId="0" fillId="0" borderId="0" xfId="0" applyAlignment="1">
      <alignment wrapText="1"/>
    </xf>
  </cellXfs>
  <cellStyles count="2">
    <cellStyle name="Hyperlink" xfId="1" builtinId="8"/>
    <cellStyle name="Normal" xfId="0" builtinId="0"/>
  </cellStyles>
  <dxfs count="8">
    <dxf>
      <font>
        <b/>
        <i val="0"/>
        <strike val="0"/>
        <condense val="0"/>
        <extend val="0"/>
        <outline val="0"/>
        <shadow val="0"/>
        <u val="none"/>
        <vertAlign val="baseline"/>
        <sz val="11"/>
        <color theme="1"/>
        <name val="Calibri"/>
        <family val="2"/>
        <scheme val="minor"/>
      </font>
    </dxf>
    <dxf>
      <font>
        <color rgb="FF9C0006"/>
      </font>
      <fill>
        <patternFill>
          <fgColor indexed="64"/>
          <bgColor rgb="FFFFC7CE"/>
        </patternFill>
      </fill>
    </dxf>
    <dxf>
      <font>
        <color rgb="FF9C0006"/>
      </font>
      <fill>
        <patternFill>
          <bgColor rgb="FFFFC7CE"/>
        </patternFill>
      </fill>
    </dxf>
    <dxf>
      <font>
        <strike val="0"/>
        <outline val="0"/>
        <shadow val="0"/>
        <vertAlign val="baseline"/>
        <sz val="11"/>
        <name val="Aptos"/>
        <family val="2"/>
        <scheme val="none"/>
      </font>
    </dxf>
    <dxf>
      <font>
        <strike val="0"/>
        <outline val="0"/>
        <shadow val="0"/>
        <vertAlign val="baseline"/>
        <sz val="11"/>
        <name val="Aptos"/>
        <family val="2"/>
        <scheme val="none"/>
      </font>
    </dxf>
    <dxf>
      <font>
        <strike val="0"/>
        <outline val="0"/>
        <shadow val="0"/>
        <vertAlign val="baseline"/>
        <sz val="11"/>
        <name val="Aptos"/>
        <family val="2"/>
        <scheme val="none"/>
      </font>
    </dxf>
    <dxf>
      <font>
        <strike val="0"/>
        <outline val="0"/>
        <shadow val="0"/>
        <vertAlign val="baseline"/>
        <sz val="11"/>
        <name val="Aptos"/>
        <family val="2"/>
        <scheme val="none"/>
      </font>
    </dxf>
    <dxf>
      <font>
        <strike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180975</xdr:colOff>
      <xdr:row>0</xdr:row>
      <xdr:rowOff>104776</xdr:rowOff>
    </xdr:from>
    <xdr:ext cx="3743325" cy="400050"/>
    <xdr:sp macro="" textlink="">
      <xdr:nvSpPr>
        <xdr:cNvPr id="2" name="TextBox 1">
          <a:extLst>
            <a:ext uri="{FF2B5EF4-FFF2-40B4-BE49-F238E27FC236}">
              <a16:creationId xmlns:a16="http://schemas.microsoft.com/office/drawing/2014/main" id="{EC94BE7C-CA8C-4CBC-953A-A23FB763D793}"/>
            </a:ext>
          </a:extLst>
        </xdr:cNvPr>
        <xdr:cNvSpPr txBox="1"/>
      </xdr:nvSpPr>
      <xdr:spPr>
        <a:xfrm>
          <a:off x="1463675" y="104776"/>
          <a:ext cx="3743325" cy="400050"/>
        </a:xfrm>
        <a:prstGeom prst="rect">
          <a:avLst/>
        </a:prstGeom>
        <a:noFill/>
        <a:ln>
          <a:noFill/>
        </a:ln>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US" sz="1800" b="1" i="1"/>
            <a:t>Contact for Projects Or</a:t>
          </a:r>
          <a:r>
            <a:rPr lang="en-US" sz="1800" b="1" i="1" baseline="0"/>
            <a:t> </a:t>
          </a:r>
          <a:r>
            <a:rPr lang="en-US" sz="1800" b="1" i="1"/>
            <a:t>Feedback</a:t>
          </a:r>
        </a:p>
      </xdr:txBody>
    </xdr:sp>
    <xdr:clientData/>
  </xdr:oneCellAnchor>
  <xdr:twoCellAnchor editAs="oneCell">
    <xdr:from>
      <xdr:col>3</xdr:col>
      <xdr:colOff>180974</xdr:colOff>
      <xdr:row>1</xdr:row>
      <xdr:rowOff>400050</xdr:rowOff>
    </xdr:from>
    <xdr:to>
      <xdr:col>3</xdr:col>
      <xdr:colOff>2381249</xdr:colOff>
      <xdr:row>5</xdr:row>
      <xdr:rowOff>85725</xdr:rowOff>
    </xdr:to>
    <xdr:pic>
      <xdr:nvPicPr>
        <xdr:cNvPr id="3" name="Picture 2">
          <a:extLst>
            <a:ext uri="{FF2B5EF4-FFF2-40B4-BE49-F238E27FC236}">
              <a16:creationId xmlns:a16="http://schemas.microsoft.com/office/drawing/2014/main" id="{69582ACF-A665-4E58-BD09-78252BCBE85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05024" y="584200"/>
          <a:ext cx="2200275" cy="2079625"/>
        </a:xfrm>
        <a:prstGeom prst="rect">
          <a:avLst/>
        </a:prstGeom>
        <a:solidFill>
          <a:srgbClr val="FFFFFF">
            <a:shade val="85000"/>
          </a:srgbClr>
        </a:solidFill>
        <a:ln w="635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508000</xdr:colOff>
      <xdr:row>5</xdr:row>
      <xdr:rowOff>165100</xdr:rowOff>
    </xdr:from>
    <xdr:to>
      <xdr:col>11</xdr:col>
      <xdr:colOff>120650</xdr:colOff>
      <xdr:row>13</xdr:row>
      <xdr:rowOff>82550</xdr:rowOff>
    </xdr:to>
    <xdr:sp macro="" textlink="">
      <xdr:nvSpPr>
        <xdr:cNvPr id="2" name="Rectangle 1">
          <a:extLst>
            <a:ext uri="{FF2B5EF4-FFF2-40B4-BE49-F238E27FC236}">
              <a16:creationId xmlns:a16="http://schemas.microsoft.com/office/drawing/2014/main" id="{BDCAA894-2BC1-455D-A136-62155AEE690B}"/>
            </a:ext>
          </a:extLst>
        </xdr:cNvPr>
        <xdr:cNvSpPr/>
      </xdr:nvSpPr>
      <xdr:spPr>
        <a:xfrm>
          <a:off x="4330700" y="1085850"/>
          <a:ext cx="3270250" cy="1390650"/>
        </a:xfrm>
        <a:prstGeom prst="rect">
          <a:avLst/>
        </a:prstGeom>
        <a:solidFill>
          <a:schemeClr val="accent4">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bg1"/>
              </a:solidFill>
            </a:rPr>
            <a:t>CHALLENGE - Count those</a:t>
          </a:r>
          <a:r>
            <a:rPr lang="en-IN" sz="1600" b="1" baseline="0">
              <a:solidFill>
                <a:schemeClr val="bg1"/>
              </a:solidFill>
            </a:rPr>
            <a:t> cells which have 2 words only.</a:t>
          </a:r>
        </a:p>
        <a:p>
          <a:pPr algn="l"/>
          <a:endParaRPr lang="en-IN" sz="1600" b="1" baseline="0">
            <a:solidFill>
              <a:schemeClr val="bg1"/>
            </a:solidFill>
          </a:endParaRPr>
        </a:p>
        <a:p>
          <a:pPr algn="l"/>
          <a:r>
            <a:rPr lang="en-IN" sz="1600" b="1" baseline="0">
              <a:solidFill>
                <a:schemeClr val="bg1"/>
              </a:solidFill>
            </a:rPr>
            <a:t>The answer should be 8</a:t>
          </a:r>
        </a:p>
        <a:p>
          <a:pPr algn="l"/>
          <a:r>
            <a:rPr lang="en-IN" sz="1600" b="1" baseline="0">
              <a:solidFill>
                <a:schemeClr val="bg1"/>
              </a:solidFill>
            </a:rPr>
            <a:t>Demonstration on right side</a:t>
          </a:r>
          <a:endParaRPr lang="en-IN" sz="1600" b="1">
            <a:solidFill>
              <a:schemeClr val="bg1"/>
            </a:solidFill>
          </a:endParaRPr>
        </a:p>
      </xdr:txBody>
    </xdr:sp>
    <xdr:clientData/>
  </xdr:twoCellAnchor>
  <xdr:twoCellAnchor>
    <xdr:from>
      <xdr:col>3</xdr:col>
      <xdr:colOff>184150</xdr:colOff>
      <xdr:row>2</xdr:row>
      <xdr:rowOff>146050</xdr:rowOff>
    </xdr:from>
    <xdr:to>
      <xdr:col>5</xdr:col>
      <xdr:colOff>355600</xdr:colOff>
      <xdr:row>8</xdr:row>
      <xdr:rowOff>139700</xdr:rowOff>
    </xdr:to>
    <xdr:sp macro="" textlink="">
      <xdr:nvSpPr>
        <xdr:cNvPr id="3" name="Lightning Bolt 2">
          <a:extLst>
            <a:ext uri="{FF2B5EF4-FFF2-40B4-BE49-F238E27FC236}">
              <a16:creationId xmlns:a16="http://schemas.microsoft.com/office/drawing/2014/main" id="{7C203966-9F71-4A22-8842-65E01E335988}"/>
            </a:ext>
          </a:extLst>
        </xdr:cNvPr>
        <xdr:cNvSpPr/>
      </xdr:nvSpPr>
      <xdr:spPr>
        <a:xfrm>
          <a:off x="2787650" y="514350"/>
          <a:ext cx="1390650" cy="1098550"/>
        </a:xfrm>
        <a:prstGeom prst="lightningBol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341440</xdr:colOff>
      <xdr:row>5</xdr:row>
      <xdr:rowOff>102774</xdr:rowOff>
    </xdr:from>
    <xdr:to>
      <xdr:col>11</xdr:col>
      <xdr:colOff>1148332</xdr:colOff>
      <xdr:row>9</xdr:row>
      <xdr:rowOff>13874</xdr:rowOff>
    </xdr:to>
    <xdr:sp macro="" textlink="">
      <xdr:nvSpPr>
        <xdr:cNvPr id="4" name="Arrow: Right 3">
          <a:extLst>
            <a:ext uri="{FF2B5EF4-FFF2-40B4-BE49-F238E27FC236}">
              <a16:creationId xmlns:a16="http://schemas.microsoft.com/office/drawing/2014/main" id="{966DCEEC-4425-4F74-B97B-3DDDBE9F6612}"/>
            </a:ext>
          </a:extLst>
        </xdr:cNvPr>
        <xdr:cNvSpPr/>
      </xdr:nvSpPr>
      <xdr:spPr>
        <a:xfrm rot="19921896">
          <a:off x="7821740" y="1023524"/>
          <a:ext cx="806892" cy="647700"/>
        </a:xfrm>
        <a:prstGeom prst="rightArrow">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Ismail\Desktop\Excel%20Freelancing%20Work\Randy%20Austin\Paul\POS%20V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tings"/>
      <sheetName val="Dropdown List"/>
      <sheetName val="Layer of Dependency"/>
      <sheetName val="ItemList"/>
      <sheetName val="Sell Details"/>
      <sheetName val="Invoice Template"/>
      <sheetName val="POS V1.3"/>
    </sheetNames>
    <sheetDataSet>
      <sheetData sheetId="0" refreshError="1"/>
      <sheetData sheetId="1"/>
      <sheetData sheetId="2" refreshError="1"/>
      <sheetData sheetId="3" refreshError="1"/>
      <sheetData sheetId="4" refreshError="1"/>
      <sheetData sheetId="5" refreshError="1"/>
      <sheetData sheetId="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7654629-32DE-4BC9-887F-CC54DECCFB04}" autoFormatId="16" applyNumberFormats="0" applyBorderFormats="0" applyFontFormats="0" applyPatternFormats="0" applyAlignmentFormats="0" applyWidthHeightFormats="0">
  <queryTableRefresh nextId="2">
    <queryTableFields count="1">
      <queryTableField id="1" name="Query_Udit"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15CA32-F2B3-4160-B696-CF7F9C19C1E9}" name="SolutionProvidersTable" displayName="SolutionProvidersTable" ref="B5:D29" totalsRowShown="0" headerRowDxfId="7" dataDxfId="6">
  <autoFilter ref="B5:D29" xr:uid="{1215CA32-F2B3-4160-B696-CF7F9C19C1E9}"/>
  <tableColumns count="3">
    <tableColumn id="1" xr3:uid="{F348F159-5BBC-4589-A988-49C2BBB18ECC}" name="Solution Provider" dataDxfId="5"/>
    <tableColumn id="2" xr3:uid="{9300C4E5-C79E-45CE-818D-65DEE0F46F9D}" name="Profile" dataDxfId="4" dataCellStyle="Hyperlink"/>
    <tableColumn id="3" xr3:uid="{59C415B7-CB3C-44D4-A048-DA196C593F4D}" name="Sheet"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FDBF921-5FA6-4571-A2FD-E06E266D668B}" name="ProblemData" displayName="ProblemData" ref="P3:P22" totalsRowShown="0" headerRowDxfId="0">
  <autoFilter ref="P3:P22" xr:uid="{BFDBF921-5FA6-4571-A2FD-E06E266D668B}"/>
  <tableColumns count="1">
    <tableColumn id="1" xr3:uid="{8F6406C6-F800-43A4-AF0E-8F1E283DB2BB}" name="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3682DE3-4512-4411-8E53-5B3F2240CB2A}" name="Table_Query_Udit" displayName="Table_Query_Udit" ref="D5:D6" tableType="queryTable" totalsRowShown="0">
  <autoFilter ref="D5:D6" xr:uid="{13682DE3-4512-4411-8E53-5B3F2240CB2A}"/>
  <tableColumns count="1">
    <tableColumn id="1" xr3:uid="{B3178C76-A894-46F7-9DE1-A46A4480EBBD}" uniqueName="1" name="Query_Udit" queryTableFieldId="1"/>
  </tableColumns>
  <tableStyleInfo name="TableStyleMedium7" showFirstColumn="0" showLastColumn="0" showRowStripes="1" showColumnStripes="0"/>
</table>
</file>

<file path=xl/theme/theme1.xml><?xml version="1.0" encoding="utf-8"?>
<a:theme xmlns:a="http://schemas.openxmlformats.org/drawingml/2006/main" name="Office Them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803" row="1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8E0214A-1172-4428-BFF2-C3B3476DEE46}">
  <we:reference id="wa200003696" version="1.2.0.0" store="en-US" storeType="OMEX"/>
  <we:alternateReferences>
    <we:reference id="WA200003696" version="1.2.0.0" store="" storeType="OMEX"/>
  </we:alternateReferences>
  <we:properties>
    <we:property name="projectV0_1-56c6e055-265e-4713-816e-a646dbb708de" value="{&quot;kind&quot;:&quot;AFEJSONBlobNode&quot;,&quot;id&quot;:&quot;{BEDDD011-7F4B-4E61-BF34-7D5706A1C622}&quot;}"/>
  </we:properties>
  <we:bindings/>
  <we:snapshot xmlns:r="http://schemas.openxmlformats.org/officeDocument/2006/relationships"/>
  <we:extLs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facebook.com/mdismail.hosen.7" TargetMode="External"/><Relationship Id="rId7" Type="http://schemas.openxmlformats.org/officeDocument/2006/relationships/drawing" Target="../drawings/drawing1.xml"/><Relationship Id="rId2" Type="http://schemas.openxmlformats.org/officeDocument/2006/relationships/hyperlink" Target="https://www.linkedin.com/in/md-ismail-hosen-b77500135/" TargetMode="External"/><Relationship Id="rId1" Type="http://schemas.openxmlformats.org/officeDocument/2006/relationships/hyperlink" Target="mailto:1997ismail.hosen@gmail.com" TargetMode="External"/><Relationship Id="rId6" Type="http://schemas.openxmlformats.org/officeDocument/2006/relationships/printerSettings" Target="../printerSettings/printerSettings1.bin"/><Relationship Id="rId5" Type="http://schemas.openxmlformats.org/officeDocument/2006/relationships/hyperlink" Target="https://resumenext.io/" TargetMode="External"/><Relationship Id="rId4" Type="http://schemas.openxmlformats.org/officeDocument/2006/relationships/hyperlink" Target="https://www.youtube.com/channel/UCL-q7_WvISkw0Ox9FRBBzmw"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www.linkedin.com/in/owenhprice/" TargetMode="External"/><Relationship Id="rId13" Type="http://schemas.openxmlformats.org/officeDocument/2006/relationships/hyperlink" Target="https://www.linkedin.com/in/jo%C3%A3o-evangelista-dov/" TargetMode="External"/><Relationship Id="rId18" Type="http://schemas.openxmlformats.org/officeDocument/2006/relationships/hyperlink" Target="https://www.linkedin.com/in/jardieleufl%C3%A1zio/" TargetMode="External"/><Relationship Id="rId26" Type="http://schemas.openxmlformats.org/officeDocument/2006/relationships/hyperlink" Target="https://lnkd.in/gcSHvCSG" TargetMode="External"/><Relationship Id="rId3" Type="http://schemas.openxmlformats.org/officeDocument/2006/relationships/hyperlink" Target="https://www.linkedin.com/in/johnjairovergarad/" TargetMode="External"/><Relationship Id="rId21" Type="http://schemas.openxmlformats.org/officeDocument/2006/relationships/hyperlink" Target="https://www.linkedin.com/in/aditya-darak/" TargetMode="External"/><Relationship Id="rId7" Type="http://schemas.openxmlformats.org/officeDocument/2006/relationships/hyperlink" Target="https://www.linkedin.com/in/wojciech-b-excel/" TargetMode="External"/><Relationship Id="rId12" Type="http://schemas.openxmlformats.org/officeDocument/2006/relationships/hyperlink" Target="https://www.linkedin.com/in/daniel-madhadha-3b39a921/" TargetMode="External"/><Relationship Id="rId17" Type="http://schemas.openxmlformats.org/officeDocument/2006/relationships/hyperlink" Target="https://www.linkedin.com/in/mundoexcelmfg/" TargetMode="External"/><Relationship Id="rId25" Type="http://schemas.openxmlformats.org/officeDocument/2006/relationships/hyperlink" Target="https://www.linkedin.com/posts/excelbi_excel-excelchallenge-excelsolution-activity-6965972649277624320-yXe7?utm_source=share&amp;utm_medium=member_desktop" TargetMode="External"/><Relationship Id="rId2" Type="http://schemas.openxmlformats.org/officeDocument/2006/relationships/hyperlink" Target="https://www.linkedin.com/in/rick-rothstein-a8b814201/" TargetMode="External"/><Relationship Id="rId16" Type="http://schemas.openxmlformats.org/officeDocument/2006/relationships/hyperlink" Target="https://www.linkedin.com/in/muhammad-nauman-55b17815b/" TargetMode="External"/><Relationship Id="rId20" Type="http://schemas.openxmlformats.org/officeDocument/2006/relationships/hyperlink" Target="https://www.linkedin.com/in/yasir-ali-khan-745a2b57/" TargetMode="External"/><Relationship Id="rId1" Type="http://schemas.openxmlformats.org/officeDocument/2006/relationships/hyperlink" Target="https://www.linkedin.com/in/baklan/" TargetMode="External"/><Relationship Id="rId6" Type="http://schemas.openxmlformats.org/officeDocument/2006/relationships/hyperlink" Target="https://www.linkedin.com/in/thewaqaskhan/" TargetMode="External"/><Relationship Id="rId11" Type="http://schemas.openxmlformats.org/officeDocument/2006/relationships/hyperlink" Target="https://www.linkedin.com/in/farazahmedqureshi/" TargetMode="External"/><Relationship Id="rId24" Type="http://schemas.openxmlformats.org/officeDocument/2006/relationships/hyperlink" Target="https://www.linkedin.com/in/md-ismail-hosen-b77500135/" TargetMode="External"/><Relationship Id="rId5" Type="http://schemas.openxmlformats.org/officeDocument/2006/relationships/hyperlink" Target="https://www.linkedin.com/in/rajesh-sinha-76315913/" TargetMode="External"/><Relationship Id="rId15" Type="http://schemas.openxmlformats.org/officeDocument/2006/relationships/hyperlink" Target="https://www.linkedin.com/in/navid-esmaeilzadeh-a4a25a200/" TargetMode="External"/><Relationship Id="rId23" Type="http://schemas.openxmlformats.org/officeDocument/2006/relationships/hyperlink" Target="https://www.linkedin.com/in/juliano-santos-lima-3a827224/" TargetMode="External"/><Relationship Id="rId10" Type="http://schemas.openxmlformats.org/officeDocument/2006/relationships/hyperlink" Target="https://www.linkedin.com/in/uditkumarchatterjee/" TargetMode="External"/><Relationship Id="rId19" Type="http://schemas.openxmlformats.org/officeDocument/2006/relationships/hyperlink" Target="https://www.linkedin.com/in/%D9%85%D8%AD%D9%85%D8%AF-%D8%AD%D9%84%D9%85%D9%8A-014934198/" TargetMode="External"/><Relationship Id="rId4" Type="http://schemas.openxmlformats.org/officeDocument/2006/relationships/hyperlink" Target="https://www.linkedin.com/in/miguelrojasa/" TargetMode="External"/><Relationship Id="rId9" Type="http://schemas.openxmlformats.org/officeDocument/2006/relationships/hyperlink" Target="https://www.linkedin.com/in/hakeemlawrence/" TargetMode="External"/><Relationship Id="rId14" Type="http://schemas.openxmlformats.org/officeDocument/2006/relationships/hyperlink" Target="https://www.linkedin.com/in/jennifer-quack/" TargetMode="External"/><Relationship Id="rId22" Type="http://schemas.openxmlformats.org/officeDocument/2006/relationships/hyperlink" Target="https://www.linkedin.com/in/tolga-demirci-civil/" TargetMode="External"/><Relationship Id="rId27"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DC453-E969-4B6C-B364-E9DC2E1E329F}">
  <sheetPr codeName="Sheet27"/>
  <dimension ref="A1:K20"/>
  <sheetViews>
    <sheetView workbookViewId="0">
      <selection activeCell="G5" sqref="G5"/>
    </sheetView>
  </sheetViews>
  <sheetFormatPr defaultColWidth="0" defaultRowHeight="15" customHeight="1" zeroHeight="1" x14ac:dyDescent="0.35"/>
  <cols>
    <col min="1" max="3" width="9.1796875" style="6" customWidth="1"/>
    <col min="4" max="4" width="38.26953125" style="6" customWidth="1"/>
    <col min="5" max="10" width="9.1796875" style="6" customWidth="1"/>
    <col min="11" max="11" width="9.453125" style="6" hidden="1" customWidth="1"/>
    <col min="12" max="16384" width="9.1796875" style="6" hidden="1"/>
  </cols>
  <sheetData>
    <row r="1" spans="1:10" ht="14.5" x14ac:dyDescent="0.35">
      <c r="A1" s="5"/>
      <c r="B1" s="5"/>
      <c r="C1" s="5"/>
      <c r="D1" s="5"/>
      <c r="E1" s="5"/>
      <c r="F1" s="5"/>
      <c r="G1" s="5"/>
      <c r="H1" s="5"/>
      <c r="I1" s="5"/>
      <c r="J1" s="5"/>
    </row>
    <row r="2" spans="1:10" ht="62.25" customHeight="1" x14ac:dyDescent="0.35">
      <c r="A2" s="5"/>
      <c r="B2" s="5"/>
      <c r="C2" s="5"/>
      <c r="D2" s="7"/>
      <c r="E2" s="5"/>
      <c r="F2" s="5"/>
      <c r="G2" s="5"/>
      <c r="H2" s="5"/>
      <c r="I2" s="5"/>
      <c r="J2" s="5"/>
    </row>
    <row r="3" spans="1:10" ht="14.5" x14ac:dyDescent="0.35">
      <c r="A3" s="5"/>
      <c r="B3" s="5"/>
      <c r="C3" s="5"/>
      <c r="D3" s="5"/>
      <c r="E3" s="5"/>
      <c r="F3" s="5"/>
      <c r="G3" s="5"/>
      <c r="H3" s="5"/>
      <c r="I3" s="5"/>
      <c r="J3" s="5"/>
    </row>
    <row r="4" spans="1:10" ht="14.5" x14ac:dyDescent="0.35">
      <c r="A4" s="5"/>
      <c r="B4" s="5"/>
      <c r="C4" s="5"/>
      <c r="D4" s="5"/>
      <c r="E4" s="5"/>
      <c r="F4" s="5"/>
      <c r="G4" s="5"/>
      <c r="H4" s="5"/>
      <c r="I4" s="5"/>
      <c r="J4" s="5"/>
    </row>
    <row r="5" spans="1:10" ht="97.5" customHeight="1" x14ac:dyDescent="0.35">
      <c r="A5" s="5"/>
      <c r="B5" s="5"/>
      <c r="C5" s="5"/>
      <c r="D5" s="5"/>
      <c r="E5" s="5"/>
      <c r="F5" s="5"/>
      <c r="G5" s="5"/>
      <c r="H5" s="5"/>
      <c r="I5" s="5"/>
      <c r="J5" s="5"/>
    </row>
    <row r="6" spans="1:10" ht="14.5" x14ac:dyDescent="0.35">
      <c r="A6" s="5"/>
      <c r="B6" s="5"/>
      <c r="C6" s="5"/>
      <c r="D6" s="5"/>
      <c r="E6" s="5"/>
      <c r="F6" s="5"/>
      <c r="G6" s="5"/>
      <c r="H6" s="5"/>
      <c r="I6" s="5"/>
      <c r="J6" s="5"/>
    </row>
    <row r="7" spans="1:10" ht="23.5" x14ac:dyDescent="0.35">
      <c r="A7" s="5"/>
      <c r="B7" s="5"/>
      <c r="C7" s="5"/>
      <c r="D7" s="8" t="s">
        <v>52</v>
      </c>
      <c r="E7" s="5"/>
      <c r="F7" s="5"/>
      <c r="G7" s="5"/>
      <c r="H7" s="5"/>
      <c r="I7" s="5"/>
      <c r="J7" s="5"/>
    </row>
    <row r="8" spans="1:10" ht="23.5" x14ac:dyDescent="0.35">
      <c r="A8" s="5"/>
      <c r="B8" s="5"/>
      <c r="C8" s="5"/>
      <c r="D8" s="8" t="s">
        <v>53</v>
      </c>
      <c r="E8" s="5"/>
      <c r="F8" s="5"/>
      <c r="G8" s="5"/>
      <c r="H8" s="5"/>
      <c r="I8" s="5"/>
      <c r="J8" s="5"/>
    </row>
    <row r="9" spans="1:10" ht="24" x14ac:dyDescent="0.35">
      <c r="A9" s="5"/>
      <c r="B9" s="5"/>
      <c r="C9" s="5"/>
      <c r="D9" s="9" t="s">
        <v>54</v>
      </c>
      <c r="E9" s="5"/>
      <c r="F9" s="5"/>
      <c r="G9" s="5"/>
      <c r="H9" s="5"/>
      <c r="I9" s="5"/>
      <c r="J9" s="5"/>
    </row>
    <row r="10" spans="1:10" ht="21.5" x14ac:dyDescent="0.35">
      <c r="A10" s="5"/>
      <c r="B10" s="5"/>
      <c r="C10" s="5"/>
      <c r="D10" s="10" t="s">
        <v>55</v>
      </c>
      <c r="E10" s="5"/>
      <c r="F10" s="5"/>
      <c r="G10" s="5"/>
      <c r="H10" s="5"/>
      <c r="I10" s="5"/>
      <c r="J10" s="5"/>
    </row>
    <row r="11" spans="1:10" ht="21.5" x14ac:dyDescent="0.35">
      <c r="A11" s="5"/>
      <c r="B11" s="5"/>
      <c r="C11" s="5"/>
      <c r="D11" s="11" t="s">
        <v>56</v>
      </c>
      <c r="E11" s="5"/>
      <c r="F11" s="5"/>
      <c r="G11" s="5"/>
      <c r="H11" s="5"/>
      <c r="I11" s="5"/>
      <c r="J11" s="5"/>
    </row>
    <row r="12" spans="1:10" ht="21.5" x14ac:dyDescent="0.35">
      <c r="A12" s="5"/>
      <c r="B12" s="5"/>
      <c r="C12" s="5"/>
      <c r="D12" s="11" t="s">
        <v>57</v>
      </c>
      <c r="E12" s="5"/>
      <c r="F12" s="5"/>
      <c r="G12" s="5"/>
      <c r="H12" s="5"/>
      <c r="I12" s="5"/>
      <c r="J12" s="5"/>
    </row>
    <row r="13" spans="1:10" ht="21.5" x14ac:dyDescent="0.35">
      <c r="A13" s="5"/>
      <c r="B13" s="5"/>
      <c r="C13" s="5"/>
      <c r="D13" s="11" t="s">
        <v>58</v>
      </c>
      <c r="E13" s="5"/>
      <c r="F13" s="5"/>
      <c r="G13" s="5"/>
      <c r="H13" s="5"/>
      <c r="I13" s="5"/>
      <c r="J13" s="5"/>
    </row>
    <row r="14" spans="1:10" ht="14.5" x14ac:dyDescent="0.35">
      <c r="A14" s="5"/>
      <c r="B14" s="5"/>
      <c r="C14" s="5"/>
      <c r="D14" s="5"/>
      <c r="E14" s="5"/>
      <c r="F14" s="5"/>
      <c r="G14" s="5"/>
      <c r="H14" s="5"/>
      <c r="I14" s="5"/>
      <c r="J14" s="5"/>
    </row>
    <row r="15" spans="1:10" ht="14.5" x14ac:dyDescent="0.35">
      <c r="A15" s="5"/>
      <c r="B15" s="5"/>
      <c r="C15" s="5"/>
      <c r="D15" s="5"/>
      <c r="E15" s="5"/>
      <c r="F15" s="5"/>
      <c r="G15" s="5"/>
      <c r="H15" s="5"/>
      <c r="I15" s="5"/>
      <c r="J15" s="5"/>
    </row>
    <row r="16" spans="1:10" ht="14.5" x14ac:dyDescent="0.35">
      <c r="A16" s="5"/>
      <c r="B16" s="5"/>
      <c r="C16" s="5"/>
      <c r="D16" s="5"/>
      <c r="E16" s="5"/>
      <c r="F16" s="5"/>
      <c r="G16" s="5"/>
      <c r="H16" s="5"/>
      <c r="I16" s="5"/>
      <c r="J16" s="5"/>
    </row>
    <row r="17" spans="1:10" ht="14.5" x14ac:dyDescent="0.35">
      <c r="A17" s="5"/>
      <c r="B17" s="5"/>
      <c r="C17" s="5"/>
      <c r="D17" s="5"/>
      <c r="E17" s="5"/>
      <c r="F17" s="5"/>
      <c r="G17" s="5"/>
      <c r="H17" s="5"/>
      <c r="I17" s="5"/>
      <c r="J17" s="5"/>
    </row>
    <row r="18" spans="1:10" ht="14.5" x14ac:dyDescent="0.35">
      <c r="A18" s="5"/>
      <c r="B18" s="5"/>
      <c r="C18" s="5"/>
      <c r="D18" s="5"/>
      <c r="E18" s="5"/>
      <c r="F18" s="5"/>
      <c r="G18" s="5"/>
      <c r="H18" s="5"/>
      <c r="I18" s="5"/>
      <c r="J18" s="5"/>
    </row>
    <row r="19" spans="1:10" ht="14.5" x14ac:dyDescent="0.35">
      <c r="A19" s="5"/>
      <c r="B19" s="5"/>
      <c r="C19" s="5"/>
      <c r="D19" s="5"/>
      <c r="E19" s="5"/>
      <c r="F19" s="5"/>
      <c r="G19" s="5"/>
      <c r="H19" s="5"/>
      <c r="I19" s="5"/>
      <c r="J19" s="5"/>
    </row>
    <row r="20" spans="1:10" ht="14.5" x14ac:dyDescent="0.35">
      <c r="A20" s="5"/>
      <c r="B20" s="5"/>
      <c r="C20" s="5"/>
      <c r="D20" s="5"/>
      <c r="E20" s="5"/>
      <c r="F20" s="5"/>
      <c r="G20" s="5"/>
      <c r="H20" s="5"/>
      <c r="I20" s="5"/>
      <c r="J20" s="5"/>
    </row>
  </sheetData>
  <sheetProtection algorithmName="SHA-512" hashValue="r+T0PKHbFerA0tJQzdPysBRp0RvWD1d4tB+vge15Ta7Yp9Bg+pCHRHR5kLj0qLFC7pPzONeUt8BTQk5XJvS/oQ==" saltValue="Oc3tqRMmwuChfLBhYhinOw==" spinCount="100000" sheet="1" objects="1" scenarios="1"/>
  <hyperlinks>
    <hyperlink ref="D9" r:id="rId1" display="Email" xr:uid="{99117F55-05D6-4B49-8FCE-6A509C3542BF}"/>
    <hyperlink ref="D10" r:id="rId2" display="LinkedIn" xr:uid="{DF0F669F-6D64-4D8E-8561-D1973F440C1A}"/>
    <hyperlink ref="D11" r:id="rId3" display="Facebook" xr:uid="{706E349F-1191-40E2-84A2-C5BC2AB812F7}"/>
    <hyperlink ref="D12" r:id="rId4" xr:uid="{30347412-4FF5-42E4-94DB-F9AFBEE42C7A}"/>
    <hyperlink ref="D13" r:id="rId5" xr:uid="{7196ED62-3D41-478C-BF67-F4AE72764214}"/>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8F3FC-F709-4086-A2EB-0F3F5818F4C3}">
  <sheetPr codeName="Sheet1"/>
  <dimension ref="B1:D29"/>
  <sheetViews>
    <sheetView showGridLines="0" workbookViewId="0">
      <selection activeCell="D22" sqref="D22"/>
    </sheetView>
  </sheetViews>
  <sheetFormatPr defaultRowHeight="14.5" x14ac:dyDescent="0.35"/>
  <cols>
    <col min="2" max="2" width="28.81640625" bestFit="1" customWidth="1"/>
    <col min="3" max="3" width="104.08984375" bestFit="1" customWidth="1"/>
    <col min="4" max="4" width="27.81640625" bestFit="1" customWidth="1"/>
  </cols>
  <sheetData>
    <row r="1" spans="2:4" x14ac:dyDescent="0.35">
      <c r="B1" s="14" t="s">
        <v>81</v>
      </c>
      <c r="C1" s="15" t="s">
        <v>83</v>
      </c>
    </row>
    <row r="2" spans="2:4" x14ac:dyDescent="0.35">
      <c r="B2" s="14" t="s">
        <v>82</v>
      </c>
      <c r="C2" s="15" t="s">
        <v>84</v>
      </c>
    </row>
    <row r="5" spans="2:4" ht="18.5" x14ac:dyDescent="0.45">
      <c r="B5" s="4" t="s">
        <v>0</v>
      </c>
      <c r="C5" s="4" t="s">
        <v>1</v>
      </c>
      <c r="D5" s="4" t="s">
        <v>50</v>
      </c>
    </row>
    <row r="6" spans="2:4" x14ac:dyDescent="0.35">
      <c r="B6" s="2" t="s">
        <v>47</v>
      </c>
      <c r="C6" s="3" t="s">
        <v>48</v>
      </c>
      <c r="D6" s="3" t="s">
        <v>47</v>
      </c>
    </row>
    <row r="7" spans="2:4" x14ac:dyDescent="0.35">
      <c r="B7" s="2" t="s">
        <v>3</v>
      </c>
      <c r="C7" s="3" t="s">
        <v>2</v>
      </c>
      <c r="D7" s="3" t="s">
        <v>3</v>
      </c>
    </row>
    <row r="8" spans="2:4" x14ac:dyDescent="0.35">
      <c r="B8" s="2" t="s">
        <v>4</v>
      </c>
      <c r="C8" s="3" t="s">
        <v>5</v>
      </c>
      <c r="D8" s="3" t="s">
        <v>4</v>
      </c>
    </row>
    <row r="9" spans="2:4" x14ac:dyDescent="0.35">
      <c r="B9" s="2" t="s">
        <v>6</v>
      </c>
      <c r="C9" s="3" t="s">
        <v>7</v>
      </c>
      <c r="D9" s="3" t="s">
        <v>6</v>
      </c>
    </row>
    <row r="10" spans="2:4" x14ac:dyDescent="0.35">
      <c r="B10" s="2" t="s">
        <v>8</v>
      </c>
      <c r="C10" s="3" t="s">
        <v>9</v>
      </c>
      <c r="D10" s="3" t="s">
        <v>8</v>
      </c>
    </row>
    <row r="11" spans="2:4" x14ac:dyDescent="0.35">
      <c r="B11" s="2" t="s">
        <v>11</v>
      </c>
      <c r="C11" s="3" t="s">
        <v>10</v>
      </c>
      <c r="D11" s="3" t="s">
        <v>11</v>
      </c>
    </row>
    <row r="12" spans="2:4" x14ac:dyDescent="0.35">
      <c r="B12" s="2" t="s">
        <v>13</v>
      </c>
      <c r="C12" s="3" t="s">
        <v>12</v>
      </c>
      <c r="D12" s="3" t="s">
        <v>13</v>
      </c>
    </row>
    <row r="13" spans="2:4" x14ac:dyDescent="0.35">
      <c r="B13" s="2" t="s">
        <v>14</v>
      </c>
      <c r="C13" s="3" t="s">
        <v>15</v>
      </c>
      <c r="D13" s="3" t="s">
        <v>14</v>
      </c>
    </row>
    <row r="14" spans="2:4" x14ac:dyDescent="0.35">
      <c r="B14" s="2" t="s">
        <v>17</v>
      </c>
      <c r="C14" s="3" t="s">
        <v>16</v>
      </c>
      <c r="D14" s="3" t="s">
        <v>17</v>
      </c>
    </row>
    <row r="15" spans="2:4" x14ac:dyDescent="0.35">
      <c r="B15" s="2" t="s">
        <v>18</v>
      </c>
      <c r="C15" s="3" t="s">
        <v>19</v>
      </c>
      <c r="D15" s="3" t="s">
        <v>18</v>
      </c>
    </row>
    <row r="16" spans="2:4" x14ac:dyDescent="0.35">
      <c r="B16" s="2" t="s">
        <v>20</v>
      </c>
      <c r="C16" s="3" t="s">
        <v>21</v>
      </c>
      <c r="D16" s="3" t="s">
        <v>20</v>
      </c>
    </row>
    <row r="17" spans="2:4" x14ac:dyDescent="0.35">
      <c r="B17" s="2" t="s">
        <v>23</v>
      </c>
      <c r="C17" s="3" t="s">
        <v>22</v>
      </c>
      <c r="D17" s="3" t="s">
        <v>23</v>
      </c>
    </row>
    <row r="18" spans="2:4" x14ac:dyDescent="0.35">
      <c r="B18" s="2" t="s">
        <v>24</v>
      </c>
      <c r="C18" s="3" t="s">
        <v>25</v>
      </c>
      <c r="D18" s="3" t="s">
        <v>24</v>
      </c>
    </row>
    <row r="19" spans="2:4" x14ac:dyDescent="0.35">
      <c r="B19" s="2" t="s">
        <v>27</v>
      </c>
      <c r="C19" s="3" t="s">
        <v>26</v>
      </c>
      <c r="D19" s="3" t="s">
        <v>49</v>
      </c>
    </row>
    <row r="20" spans="2:4" x14ac:dyDescent="0.35">
      <c r="B20" s="2" t="s">
        <v>29</v>
      </c>
      <c r="C20" s="3" t="s">
        <v>28</v>
      </c>
      <c r="D20" s="3" t="s">
        <v>29</v>
      </c>
    </row>
    <row r="21" spans="2:4" x14ac:dyDescent="0.35">
      <c r="B21" s="2" t="s">
        <v>31</v>
      </c>
      <c r="C21" s="3" t="s">
        <v>30</v>
      </c>
      <c r="D21" s="3" t="s">
        <v>31</v>
      </c>
    </row>
    <row r="22" spans="2:4" x14ac:dyDescent="0.35">
      <c r="B22" s="2" t="s">
        <v>33</v>
      </c>
      <c r="C22" s="3" t="s">
        <v>32</v>
      </c>
      <c r="D22" s="3" t="s">
        <v>33</v>
      </c>
    </row>
    <row r="23" spans="2:4" x14ac:dyDescent="0.35">
      <c r="B23" s="2" t="s">
        <v>35</v>
      </c>
      <c r="C23" s="3" t="s">
        <v>34</v>
      </c>
      <c r="D23" s="3" t="s">
        <v>35</v>
      </c>
    </row>
    <row r="24" spans="2:4" x14ac:dyDescent="0.35">
      <c r="B24" s="2" t="s">
        <v>37</v>
      </c>
      <c r="C24" s="3" t="s">
        <v>36</v>
      </c>
      <c r="D24" s="3" t="s">
        <v>37</v>
      </c>
    </row>
    <row r="25" spans="2:4" x14ac:dyDescent="0.35">
      <c r="B25" s="2" t="s">
        <v>51</v>
      </c>
      <c r="C25" s="3" t="s">
        <v>38</v>
      </c>
      <c r="D25" s="1" t="s">
        <v>51</v>
      </c>
    </row>
    <row r="26" spans="2:4" x14ac:dyDescent="0.35">
      <c r="B26" s="2" t="s">
        <v>40</v>
      </c>
      <c r="C26" s="3" t="s">
        <v>39</v>
      </c>
      <c r="D26" s="3" t="s">
        <v>40</v>
      </c>
    </row>
    <row r="27" spans="2:4" x14ac:dyDescent="0.35">
      <c r="B27" s="2" t="s">
        <v>42</v>
      </c>
      <c r="C27" s="3" t="s">
        <v>41</v>
      </c>
      <c r="D27" s="3" t="s">
        <v>42</v>
      </c>
    </row>
    <row r="28" spans="2:4" x14ac:dyDescent="0.35">
      <c r="B28" s="2" t="s">
        <v>44</v>
      </c>
      <c r="C28" s="3" t="s">
        <v>43</v>
      </c>
      <c r="D28" s="3" t="s">
        <v>44</v>
      </c>
    </row>
    <row r="29" spans="2:4" x14ac:dyDescent="0.35">
      <c r="B29" s="2" t="s">
        <v>46</v>
      </c>
      <c r="C29" s="3" t="s">
        <v>45</v>
      </c>
      <c r="D29" s="3" t="s">
        <v>46</v>
      </c>
    </row>
  </sheetData>
  <conditionalFormatting sqref="C6:C29">
    <cfRule type="duplicateValues" dxfId="2" priority="1"/>
    <cfRule type="duplicateValues" dxfId="1" priority="3"/>
  </conditionalFormatting>
  <hyperlinks>
    <hyperlink ref="C7" r:id="rId1" xr:uid="{A158D2FF-9E72-4412-90C9-8A7A586BF97B}"/>
    <hyperlink ref="C8" r:id="rId2" xr:uid="{853CE5BA-9EDD-4B1D-A584-BEF2621287AF}"/>
    <hyperlink ref="C9" r:id="rId3" xr:uid="{D2B5C20F-33B5-463F-B5B9-9F4DF190C86D}"/>
    <hyperlink ref="C10" r:id="rId4" xr:uid="{0A1DDBD8-C3A5-4D9E-BF5D-A10A44366EEA}"/>
    <hyperlink ref="C11" r:id="rId5" xr:uid="{C5A36B7E-3E1A-4E1A-B7F0-90816D6856BA}"/>
    <hyperlink ref="C12" r:id="rId6" xr:uid="{5A3F081A-DC12-49AD-9001-234B9E4E9960}"/>
    <hyperlink ref="C13" r:id="rId7" xr:uid="{02596A39-1573-4CF9-B3B9-91B3DCA298A4}"/>
    <hyperlink ref="C14" r:id="rId8" xr:uid="{0D322F30-A58C-481D-BCEA-6263ED36307A}"/>
    <hyperlink ref="C15" r:id="rId9" xr:uid="{045ABEB1-2F9B-44E0-AC79-91B0E8F45C3F}"/>
    <hyperlink ref="C16" r:id="rId10" xr:uid="{7B5C3F72-CD2F-4E70-90AB-C3EA89A6452E}"/>
    <hyperlink ref="C17" r:id="rId11" xr:uid="{CC4B805B-3A56-4C64-A163-14C172BD3E97}"/>
    <hyperlink ref="C18" r:id="rId12" xr:uid="{C84C2241-7BB6-4FEE-BCAA-07FF0571FB56}"/>
    <hyperlink ref="C19" r:id="rId13" xr:uid="{69679079-4503-404D-A831-E04B4EF813A5}"/>
    <hyperlink ref="C20" r:id="rId14" xr:uid="{020AB112-E886-4406-8880-7A6D0D762CAE}"/>
    <hyperlink ref="C21" r:id="rId15" xr:uid="{92D0B094-C0BD-404E-99A6-A5C266D8D47D}"/>
    <hyperlink ref="C22" r:id="rId16" xr:uid="{BBCAB4D6-62D9-402E-B4F1-0102831E5538}"/>
    <hyperlink ref="C23" r:id="rId17" xr:uid="{C1C94C1C-2CD9-4882-9CF4-0D094FD99831}"/>
    <hyperlink ref="C24" r:id="rId18" xr:uid="{EA2C9915-8335-49B2-9699-143D82EE2967}"/>
    <hyperlink ref="C25" r:id="rId19" xr:uid="{4CF95506-CC1E-481A-BC15-85333A7BE4C7}"/>
    <hyperlink ref="C26" r:id="rId20" xr:uid="{27F924B6-3836-447D-AF83-0EE5A6521073}"/>
    <hyperlink ref="C27" r:id="rId21" xr:uid="{AEB19703-53C9-42A1-8E05-FE06F3DC0702}"/>
    <hyperlink ref="C28" r:id="rId22" xr:uid="{B923D2BA-F5CA-4E94-988B-22F3B9B47383}"/>
    <hyperlink ref="C29" r:id="rId23" xr:uid="{12E0CBE1-8D66-4D9D-870B-2F06D805AB6B}"/>
    <hyperlink ref="C6" r:id="rId24" xr:uid="{8DF05ACD-D756-44F7-A220-8402DCBDBBDA}"/>
    <hyperlink ref="D6" location="'Md Ismail Hosen'!A1" tooltip="Click to go to Md Ismail Hosen Sheet " display="Md Ismail Hosen" xr:uid="{3F949E37-7C06-42C6-86F0-5491F7B8E6A8}"/>
    <hyperlink ref="D7" location="'Sergei Baklan'!A1" tooltip="Click to go to Sergei Baklan Sheet " display="Sergei Baklan" xr:uid="{5A7050A8-8D67-4B8C-8886-714537E8EA72}"/>
    <hyperlink ref="D8" location="'Rick Rothstein'!A1" tooltip="Click to go to Rick Rothstein Sheet " display="Rick Rothstein" xr:uid="{5E6FDC2C-2B86-4F05-92A3-89559AA29AF8}"/>
    <hyperlink ref="D9" location="'John Jairo V.'!A1" tooltip="Click to go to John Jairo V. Sheet " display="John Jairo V." xr:uid="{873C7538-B21C-4872-A586-60AB6EFE06F6}"/>
    <hyperlink ref="D10" location="'Félix Miguel Rojas Arroyo'!A1" tooltip="Click to go to Félix Miguel Rojas Arroyo Sheet " display="Félix Miguel Rojas Arroyo" xr:uid="{C5566EC2-AEBB-454A-8743-2B5EB950670D}"/>
    <hyperlink ref="D11" location="'Rajesh Sinha'!A1" tooltip="Click to go to Rajesh Sinha Sheet " display="Rajesh Sinha" xr:uid="{BA17AC1C-567C-489A-A80B-0D3F52429210}"/>
    <hyperlink ref="D12" location="'Muhammad Waqas Khan'!A1" tooltip="Click to go to Muhammad Waqas Khan Sheet " display="Muhammad Waqas Khan" xr:uid="{8963A48D-8479-4D5C-A898-31BB98BAFCDB}"/>
    <hyperlink ref="D13" location="'Wojciech B'!A1" tooltip="Click to go to Wojciech B Sheet " display="Wojciech B" xr:uid="{4A94EA1B-4F62-454E-A7F8-57B23DF6B123}"/>
    <hyperlink ref="D14" location="'Owen Price'!A1" tooltip="Click to go to Owen Price Sheet " display="Owen Price" xr:uid="{64AAFDDA-FD38-4A9A-8E06-7129B542EF32}"/>
    <hyperlink ref="D15" location="'Hakeem Lawrence, MSBA '!A1" tooltip="Click to go to Hakeem Lawrence, MSBA  Sheet " display="Hakeem Lawrence, MSBA " xr:uid="{23ACED8B-9C4A-4071-ADF1-99288D3539F7}"/>
    <hyperlink ref="D16" location="'Udit Kumar Chatterjee'!A1" tooltip="Click to go to Udit Kumar Chatterjee Sheet " display="Udit Kumar Chatterjee" xr:uid="{14E61AB2-A1BC-477B-9357-42718F477593}"/>
    <hyperlink ref="D17" location="'Faraz Ahmed Qureshi'!A1" tooltip="Click to go to Faraz Ahmed Qureshi Sheet " display="Faraz Ahmed Qureshi" xr:uid="{221DF652-0C4B-45B8-8C94-3EED633A134C}"/>
    <hyperlink ref="D18" location="'Daniel Madhadha'!A1" tooltip="Click to go to Daniel Madhadha Sheet " display="Daniel Madhadha" xr:uid="{A7E50A42-2292-4649-AA41-83316FB8A2FE}"/>
    <hyperlink ref="D19" location="'João Evangelista da Silva Santo'!A1" tooltip="Click to go to João Evangelista da Silva Santo Sheet " display="João Evangelista da Silva Santo" xr:uid="{A7B7978F-DB2F-43A6-9510-0249DACEFD57}"/>
    <hyperlink ref="D20" location="'Jennifer Quack'!A1" tooltip="Click to go to Jennifer Quack Sheet " display="Jennifer Quack" xr:uid="{BA4ADF76-C8C4-4D73-94FA-316B8C1080DA}"/>
    <hyperlink ref="D21" location="'Navid Esmaeilzadeh'!A1" tooltip="Click to go to Navid Esmaeilzadeh Sheet " display="Navid Esmaeilzadeh" xr:uid="{6EA10711-8B4D-4858-9120-7D69B49AD222}"/>
    <hyperlink ref="D22" location="'Muhammad Nauman'!A1" tooltip="Click to go to Muhammad Nauman Sheet " display="Muhammad Nauman" xr:uid="{4603AFB3-A40D-4862-B60D-043CE13395A1}"/>
    <hyperlink ref="D23" location="'Miguel Angel Franco García'!A1" tooltip="Click to go to Miguel Angel Franco García Sheet " display="Miguel Angel Franco García" xr:uid="{A05330AB-BABC-4129-BF1E-07A28971C5C9}"/>
    <hyperlink ref="D24" location="'Jardiel Euflázio'!A1" tooltip="Click to go to Jardiel Euflázio Sheet " display="Jardiel Euflázio" xr:uid="{34AF324D-7266-4250-B225-4EA60A58B9A5}"/>
    <hyperlink ref="D25" location="'Moahmed Helmy'!A1" tooltip="Click to go to محمد حلمي Sheet " display="Moahmed Helmy" xr:uid="{57366DE7-99BE-4E34-924C-9FD4B8382406}"/>
    <hyperlink ref="D26" location="'Yasir Ali Khan'!A1" tooltip="Click to go to Yasir Ali Khan Sheet " display="Yasir Ali Khan" xr:uid="{4D3018ED-803B-4D4E-999F-E90BE82413DE}"/>
    <hyperlink ref="D27" location="'Aditya Kumar Darak'!A1" tooltip="Click to go to Aditya Kumar Darak Sheet " display="Aditya Kumar Darak" xr:uid="{3788DEAE-EB3B-4206-A6F9-5B01B04710CA}"/>
    <hyperlink ref="D28" location="'Tolga Demirci'!A1" tooltip="Click to go to Tolga Demirci Sheet " display="Tolga Demirci" xr:uid="{DA6D2436-AB5B-441E-9B79-2806622EDA8D}"/>
    <hyperlink ref="D29" location="'Juliano Santos Lima'!A1" tooltip="Click to go to Juliano Santos Lima Sheet " display="Juliano Santos Lima" xr:uid="{ECF79636-5EAC-40A3-88B7-51EAD9A523A4}"/>
    <hyperlink ref="C1" r:id="rId25" xr:uid="{68C15216-44FB-4951-B897-28FCCA0BF0A7}"/>
    <hyperlink ref="C2" r:id="rId26" xr:uid="{C1563807-016B-4DD3-91DC-1D30899772BE}"/>
  </hyperlinks>
  <pageMargins left="0.7" right="0.7" top="0.75" bottom="0.75" header="0.3" footer="0.3"/>
  <tableParts count="1">
    <tablePart r:id="rId2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31E26-57EE-41DD-B3EE-1E32851E8234}">
  <sheetPr codeName="Sheet2"/>
  <dimension ref="A1:P22"/>
  <sheetViews>
    <sheetView showGridLines="0" workbookViewId="0">
      <selection activeCell="A2" sqref="A2:A20"/>
    </sheetView>
  </sheetViews>
  <sheetFormatPr defaultRowHeight="14.5" x14ac:dyDescent="0.35"/>
  <cols>
    <col min="1" max="1" width="19.81640625" bestFit="1" customWidth="1"/>
    <col min="12" max="12" width="16.81640625" customWidth="1"/>
    <col min="13" max="13" width="18.81640625" bestFit="1" customWidth="1"/>
    <col min="14" max="14" width="10.54296875" bestFit="1" customWidth="1"/>
    <col min="16" max="16" width="19.36328125" bestFit="1" customWidth="1"/>
  </cols>
  <sheetData>
    <row r="1" spans="1:16" x14ac:dyDescent="0.35">
      <c r="A1" s="13" t="s">
        <v>60</v>
      </c>
      <c r="M1" s="13" t="s">
        <v>61</v>
      </c>
      <c r="N1" s="13" t="s">
        <v>62</v>
      </c>
      <c r="P1" t="s">
        <v>91</v>
      </c>
    </row>
    <row r="2" spans="1:16" x14ac:dyDescent="0.35">
      <c r="A2" t="s">
        <v>63</v>
      </c>
      <c r="M2" t="s">
        <v>63</v>
      </c>
      <c r="N2">
        <f>COUNTA(M:M)-1</f>
        <v>8</v>
      </c>
    </row>
    <row r="3" spans="1:16" x14ac:dyDescent="0.35">
      <c r="A3" t="s">
        <v>64</v>
      </c>
      <c r="M3" t="s">
        <v>65</v>
      </c>
      <c r="P3" s="13" t="s">
        <v>60</v>
      </c>
    </row>
    <row r="4" spans="1:16" x14ac:dyDescent="0.35">
      <c r="A4" t="s">
        <v>65</v>
      </c>
      <c r="M4" t="s">
        <v>66</v>
      </c>
      <c r="P4" t="s">
        <v>63</v>
      </c>
    </row>
    <row r="5" spans="1:16" x14ac:dyDescent="0.35">
      <c r="A5" t="s">
        <v>67</v>
      </c>
      <c r="M5" t="s">
        <v>68</v>
      </c>
      <c r="P5" t="s">
        <v>64</v>
      </c>
    </row>
    <row r="6" spans="1:16" x14ac:dyDescent="0.35">
      <c r="A6" t="s">
        <v>66</v>
      </c>
      <c r="M6" t="s">
        <v>69</v>
      </c>
      <c r="P6" t="s">
        <v>65</v>
      </c>
    </row>
    <row r="7" spans="1:16" x14ac:dyDescent="0.35">
      <c r="A7" t="s">
        <v>70</v>
      </c>
      <c r="M7" t="s">
        <v>71</v>
      </c>
      <c r="P7" t="s">
        <v>67</v>
      </c>
    </row>
    <row r="8" spans="1:16" x14ac:dyDescent="0.35">
      <c r="A8" t="s">
        <v>72</v>
      </c>
      <c r="M8" t="s">
        <v>73</v>
      </c>
      <c r="P8" t="s">
        <v>66</v>
      </c>
    </row>
    <row r="9" spans="1:16" x14ac:dyDescent="0.35">
      <c r="A9" t="s">
        <v>68</v>
      </c>
      <c r="M9" t="s">
        <v>74</v>
      </c>
      <c r="P9" t="s">
        <v>70</v>
      </c>
    </row>
    <row r="10" spans="1:16" x14ac:dyDescent="0.35">
      <c r="P10" t="s">
        <v>72</v>
      </c>
    </row>
    <row r="11" spans="1:16" x14ac:dyDescent="0.35">
      <c r="A11" t="s">
        <v>69</v>
      </c>
      <c r="P11" t="s">
        <v>68</v>
      </c>
    </row>
    <row r="12" spans="1:16" x14ac:dyDescent="0.35">
      <c r="A12" t="s">
        <v>75</v>
      </c>
    </row>
    <row r="13" spans="1:16" x14ac:dyDescent="0.35">
      <c r="A13" t="s">
        <v>71</v>
      </c>
      <c r="P13" t="s">
        <v>69</v>
      </c>
    </row>
    <row r="14" spans="1:16" x14ac:dyDescent="0.35">
      <c r="A14" t="s">
        <v>76</v>
      </c>
      <c r="P14" t="s">
        <v>75</v>
      </c>
    </row>
    <row r="15" spans="1:16" x14ac:dyDescent="0.35">
      <c r="A15" t="s">
        <v>77</v>
      </c>
      <c r="P15" t="s">
        <v>71</v>
      </c>
    </row>
    <row r="16" spans="1:16" x14ac:dyDescent="0.35">
      <c r="A16" t="s">
        <v>73</v>
      </c>
      <c r="P16" t="s">
        <v>76</v>
      </c>
    </row>
    <row r="17" spans="1:16" x14ac:dyDescent="0.35">
      <c r="A17" t="s">
        <v>78</v>
      </c>
      <c r="P17" t="s">
        <v>77</v>
      </c>
    </row>
    <row r="18" spans="1:16" x14ac:dyDescent="0.35">
      <c r="A18" t="s">
        <v>79</v>
      </c>
      <c r="P18" t="s">
        <v>73</v>
      </c>
    </row>
    <row r="19" spans="1:16" x14ac:dyDescent="0.35">
      <c r="A19" t="s">
        <v>74</v>
      </c>
      <c r="P19" t="s">
        <v>78</v>
      </c>
    </row>
    <row r="20" spans="1:16" x14ac:dyDescent="0.35">
      <c r="A20" t="s">
        <v>80</v>
      </c>
      <c r="L20" cm="1">
        <f t="array" ref="L20">_xlfn.LET(_xlpm.r, $A$2:$A$20, SUM(--(LEN(_xlpm.r) - LEN(SUBSTITUTE(_xlpm.r, " ", "")) = 1)))</f>
        <v>8</v>
      </c>
      <c r="P20" t="s">
        <v>79</v>
      </c>
    </row>
    <row r="21" spans="1:16" x14ac:dyDescent="0.35">
      <c r="P21" t="s">
        <v>74</v>
      </c>
    </row>
    <row r="22" spans="1:16" x14ac:dyDescent="0.35">
      <c r="P22" t="s">
        <v>80</v>
      </c>
    </row>
  </sheetData>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E021E-F036-4B99-8ED2-3F5B226CD597}">
  <sheetPr codeName="Sheet3"/>
  <dimension ref="B3:D4"/>
  <sheetViews>
    <sheetView showGridLines="0" workbookViewId="0">
      <selection activeCell="D5" sqref="D5"/>
    </sheetView>
  </sheetViews>
  <sheetFormatPr defaultRowHeight="14.5" x14ac:dyDescent="0.35"/>
  <sheetData>
    <row r="3" spans="2:4" ht="15.5" x14ac:dyDescent="0.35">
      <c r="B3" s="12" t="s">
        <v>59</v>
      </c>
    </row>
    <row r="4" spans="2:4" x14ac:dyDescent="0.35">
      <c r="B4" cm="1">
        <f t="array" ref="B4">_xlfn.LAMBDA(_xlpm.NameVector, _xlfn.LET(_xlpm.LenDiffAfterRemovingSpace, LEN(_xlpm.NameVector) - LEN(SUBSTITUTE(_xlpm.NameVector, " ", "")), _xlpm.TwoWordNames, _xlfn._xlws.FILTER(_xlpm.NameVector, _xlpm.LenDiffAfterRemovingSpace = 1), _xlpm.Result, ROWS(_xlpm.TwoWordNames), _xlpm.Result))(Problem!$A$2:$A$20)</f>
        <v>8</v>
      </c>
      <c r="D4" t="s">
        <v>90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96A7-027E-4BC5-8E6C-D4665BA54233}">
  <sheetPr codeName="Sheet4"/>
  <dimension ref="B3:D4"/>
  <sheetViews>
    <sheetView showGridLines="0" workbookViewId="0">
      <selection activeCell="D5" sqref="D5"/>
    </sheetView>
  </sheetViews>
  <sheetFormatPr defaultRowHeight="14.5" x14ac:dyDescent="0.35"/>
  <sheetData>
    <row r="3" spans="2:4" ht="15.5" x14ac:dyDescent="0.35">
      <c r="B3" s="12" t="s">
        <v>59</v>
      </c>
    </row>
    <row r="4" spans="2:4" x14ac:dyDescent="0.35">
      <c r="B4" cm="1">
        <f t="array" ref="B4">_xlfn.LAMBDA(_xlpm.NameVector, _xlfn.LET(_xlpm.TwoWordChecker, _xlfn.LAMBDA(_xlpm.InText, --(COUNTA(_xlfn.TEXTSPLIT(_xlpm.InText, " ")) = 2)), _xlpm.IsTwoWord, _xlfn.BYROW(_xlpm.NameVector, _xlpm.TwoWordChecker), SUM(_xlpm.IsTwoWord)))(Problem!$A$2:$A$20)</f>
        <v>8</v>
      </c>
      <c r="D4" t="s">
        <v>89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B0B0C-BC68-484A-BC1B-83FDCC8CE8BE}">
  <sheetPr codeName="Sheet5"/>
  <dimension ref="B3:D4"/>
  <sheetViews>
    <sheetView showGridLines="0" workbookViewId="0">
      <selection activeCell="B4" sqref="B4"/>
    </sheetView>
  </sheetViews>
  <sheetFormatPr defaultRowHeight="14.5" x14ac:dyDescent="0.35"/>
  <sheetData>
    <row r="3" spans="2:4" ht="15.5" x14ac:dyDescent="0.35">
      <c r="B3" s="12" t="s">
        <v>59</v>
      </c>
    </row>
    <row r="4" spans="2:4" x14ac:dyDescent="0.35">
      <c r="B4" cm="1">
        <f t="array" ref="B4">_xlfn.LAMBDA(_xlpm.NameVector, _xlfn.LET(_xlpm.LenDiffAfterRemovingSpace, LEN(_xlpm.NameVector) - LEN(SUBSTITUTE(_xlpm.NameVector, " ", "")), _xlpm.Result, SUMPRODUCT(0 + (_xlpm.LenDiffAfterRemovingSpace = 1)), _xlpm.Result))(Problem!$A$2:$A$20)</f>
        <v>8</v>
      </c>
      <c r="D4" t="s">
        <v>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B0F13-E480-4776-A096-045B80B7EA0B}">
  <sheetPr codeName="Sheet6"/>
  <dimension ref="B3:D4"/>
  <sheetViews>
    <sheetView showGridLines="0" workbookViewId="0">
      <selection activeCell="D4" sqref="D4"/>
    </sheetView>
  </sheetViews>
  <sheetFormatPr defaultRowHeight="14.5" x14ac:dyDescent="0.35"/>
  <sheetData>
    <row r="3" spans="2:4" ht="15.5" x14ac:dyDescent="0.35">
      <c r="B3" s="12" t="s">
        <v>59</v>
      </c>
    </row>
    <row r="4" spans="2:4" x14ac:dyDescent="0.35">
      <c r="B4" cm="1">
        <f t="array" ref="B4">_xlfn.LAMBDA(_xlpm.NameVector, _xlfn.LET(_xlpm.ONE_SPACE_PATTERN, "?* ?*", _xlpm.TWO_SPACE_PATTERN, "?* ?* ?*", _xlpm.Result, COUNTIFS(_xlpm.NameVector, _xlpm.ONE_SPACE_PATTERN, _xlpm.NameVector, "&lt;&gt;" &amp; _xlpm.TWO_SPACE_PATTERN), _xlpm.Result))(Problem!$A$2:$A$20)</f>
        <v>8</v>
      </c>
      <c r="D4" t="s">
        <v>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CBD01-4623-4293-B7E1-2C3678BC35B6}">
  <sheetPr codeName="Sheet7"/>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4E401-F39E-45E4-8E58-2DFE78839B1F}">
  <sheetPr codeName="Sheet8"/>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CF65F-1728-4DE9-B7C1-79F9CF63A868}">
  <sheetPr codeName="Sheet9"/>
  <dimension ref="B3:D4"/>
  <sheetViews>
    <sheetView showGridLines="0" workbookViewId="0">
      <selection activeCell="D4" sqref="D4"/>
    </sheetView>
  </sheetViews>
  <sheetFormatPr defaultRowHeight="14.5" x14ac:dyDescent="0.35"/>
  <sheetData>
    <row r="3" spans="2:4" ht="15.5" x14ac:dyDescent="0.35">
      <c r="B3" s="12" t="s">
        <v>59</v>
      </c>
      <c r="D3" t="s">
        <v>85</v>
      </c>
    </row>
    <row r="4" spans="2:4" x14ac:dyDescent="0.35">
      <c r="B4" cm="1">
        <f t="array" ref="B4">_xlfn.LAMBDA(_xlpm.NameVector, _xlfn.LET(_xlpm.PATTERN, {"?* ?*";"?* ?* ?*"}, _xlpm.CountResult, COUNTIF(_xlpm.NameVector, _xlpm.PATTERN), _xlpm.Result, SUM(_xlpm.CountResult * {1;-1}), _xlpm.Result))(Problem!$A$2:$A$20)</f>
        <v>8</v>
      </c>
      <c r="D4" t="s">
        <v>86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FC8BA-A4E3-4CB7-8456-61569D7DC73C}">
  <sheetPr codeName="Sheet10"/>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41314-7BB3-4908-A900-B41ACEF50245}">
  <sheetPr codeName="Sheet11"/>
  <dimension ref="B3:D4"/>
  <sheetViews>
    <sheetView showGridLines="0" workbookViewId="0">
      <selection activeCell="F21" sqref="F21"/>
    </sheetView>
  </sheetViews>
  <sheetFormatPr defaultRowHeight="14.5" x14ac:dyDescent="0.35"/>
  <sheetData>
    <row r="3" spans="2:4" ht="15.5" x14ac:dyDescent="0.35">
      <c r="B3" s="12" t="s">
        <v>59</v>
      </c>
    </row>
    <row r="4" spans="2:4" x14ac:dyDescent="0.35">
      <c r="B4" s="16" cm="1">
        <f t="array" ref="B4">_xlfn.LAMBDA(_xlpm.NameVector, _xlfn.LET(_xlpm.LenDiffAfterRemovingSpace, LEN(_xlpm.NameVector) - LEN(SUBSTITUTE(_xlpm.NameVector, " ", "")), _xlpm.LenDiffOneCheck, --(_xlpm.LenDiffAfterRemovingSpace = 1), _xlpm.Result, SUM(_xlpm.LenDiffOneCheck), _xlpm.Result))(Problem!$A$2:$A$20)</f>
        <v>8</v>
      </c>
      <c r="D4" t="s">
        <v>95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BF151-36E0-49BD-9E82-F98ABF58DFC1}">
  <sheetPr codeName="Sheet12"/>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9D490-6D99-4EE1-8298-982EA195D5CB}">
  <sheetPr codeName="Sheet13"/>
  <dimension ref="B3:F6"/>
  <sheetViews>
    <sheetView showGridLines="0" workbookViewId="0">
      <selection activeCell="F4" sqref="F4"/>
    </sheetView>
  </sheetViews>
  <sheetFormatPr defaultRowHeight="14.5" x14ac:dyDescent="0.35"/>
  <cols>
    <col min="4" max="4" width="12.7265625" bestFit="1" customWidth="1"/>
  </cols>
  <sheetData>
    <row r="3" spans="2:6" ht="15.5" x14ac:dyDescent="0.35">
      <c r="B3" s="12" t="s">
        <v>59</v>
      </c>
      <c r="D3" t="s">
        <v>93</v>
      </c>
    </row>
    <row r="4" spans="2:6" x14ac:dyDescent="0.35">
      <c r="F4" t="s">
        <v>94</v>
      </c>
    </row>
    <row r="5" spans="2:6" x14ac:dyDescent="0.35">
      <c r="D5" t="s">
        <v>92</v>
      </c>
    </row>
    <row r="6" spans="2:6" x14ac:dyDescent="0.35">
      <c r="D6">
        <v>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F79B4-8784-4B51-86E0-2F4F99B3FA1E}">
  <sheetPr codeName="Sheet14"/>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893D6-17EC-4DBE-8A41-B96E5E870F35}">
  <sheetPr codeName="Sheet15"/>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F8BAE-0B4D-4FFC-8C8D-93E1F279F158}">
  <sheetPr codeName="Sheet16"/>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9EEC2-5B4C-4B6E-B6C9-7932F1B5378F}">
  <sheetPr codeName="Sheet17"/>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6926A5-A2B1-4F19-9DF4-62521EAFD408}">
  <sheetPr codeName="Sheet18"/>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EF2C5-1B0E-4759-92B2-92B155ECA1FA}">
  <sheetPr codeName="Sheet19"/>
  <dimension ref="B3"/>
  <sheetViews>
    <sheetView showGridLines="0" tabSelected="1" workbookViewId="0">
      <selection activeCell="B4" sqref="B4"/>
    </sheetView>
  </sheetViews>
  <sheetFormatPr defaultRowHeight="14.5" x14ac:dyDescent="0.35"/>
  <sheetData>
    <row r="3" spans="2:2" ht="15.5" x14ac:dyDescent="0.35">
      <c r="B3" s="12" t="s">
        <v>59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8470C-BBB3-464D-9034-AC56BD941A28}">
  <sheetPr codeName="Sheet20"/>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22202-B497-41E8-A6A6-824D33D20A4E}">
  <sheetPr codeName="Sheet21"/>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83A44-CC0B-4790-989F-BCE6F4E0AF58}">
  <sheetPr codeName="Sheet22"/>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7E7E-AB96-4091-96C2-3032F5D41689}">
  <sheetPr codeName="Sheet23"/>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0D277-FA71-4485-AA4F-7BEA31482027}">
  <sheetPr codeName="Sheet24"/>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A45C9-5691-49C1-A028-8DE7DEC6D62E}">
  <sheetPr codeName="Sheet25"/>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7578-CA0B-4781-A85F-00F91AA2F3EB}">
  <sheetPr codeName="Sheet26"/>
  <dimension ref="B3"/>
  <sheetViews>
    <sheetView showGridLines="0" workbookViewId="0">
      <selection activeCell="B3" sqref="B3"/>
    </sheetView>
  </sheetViews>
  <sheetFormatPr defaultRowHeight="14.5" x14ac:dyDescent="0.35"/>
  <sheetData>
    <row r="3" spans="2:2" ht="15.5" x14ac:dyDescent="0.35">
      <c r="B3" s="12" t="s">
        <v>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MAdABhAHQAZQBtAGUAbgB0AFMAZQBwAGEAcgBhAHQAbwByACIAOgAiADsAIgAsACIAcgBvAHcAUwBlAHAAYQByAGEAdABvAHIAIgA6ACIAOwAiACwAIgBjAG8AbAB1AG0AbgBTAGUAcABhAHIAYQB0AG8AcgAiADoAIgAsACIALAAiAHQAaABvAHUAcwBhAG4AZABzAFMAZQBwAGEAcgBhAHQAbwByACIAOgAiACwAIg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bABvAGMAYQBsAGUATgBhAG0AZQAiADoAIgBlAG4ALQB1AHMAIgAsACIAdABoAG8AdQBzAGEAbgBkAHMAUABvAHMAaQB0AGkAbwBuAHMAIgA6AFsAMwBdAH0AfQA=</AFEJSONBlob>
</file>

<file path=customXml/itemProps1.xml><?xml version="1.0" encoding="utf-8"?>
<ds:datastoreItem xmlns:ds="http://schemas.openxmlformats.org/officeDocument/2006/customXml" ds:itemID="{31694719-FA23-4A00-AFD7-EB54411ACEC1}">
  <ds:schemaRefs>
    <ds:schemaRef ds:uri="http://schemas.microsoft.com/DataMashup"/>
  </ds:schemaRefs>
</ds:datastoreItem>
</file>

<file path=customXml/itemProps2.xml><?xml version="1.0" encoding="utf-8"?>
<ds:datastoreItem xmlns:ds="http://schemas.openxmlformats.org/officeDocument/2006/customXml" ds:itemID="{BEDDD011-7F4B-4E61-BF34-7D5706A1C622}">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Welcome</vt:lpstr>
      <vt:lpstr>Overview</vt:lpstr>
      <vt:lpstr>Problem</vt:lpstr>
      <vt:lpstr>Md Ismail Hosen</vt:lpstr>
      <vt:lpstr>Sergei Baklan</vt:lpstr>
      <vt:lpstr>Rick Rothstein</vt:lpstr>
      <vt:lpstr>John Jairo V.</vt:lpstr>
      <vt:lpstr>Félix Miguel Rojas Arroyo</vt:lpstr>
      <vt:lpstr>Rajesh Sinha</vt:lpstr>
      <vt:lpstr>Muhammad Waqas Khan</vt:lpstr>
      <vt:lpstr>Wojciech B</vt:lpstr>
      <vt:lpstr>Owen Price</vt:lpstr>
      <vt:lpstr>Hakeem Lawrence, MSBA </vt:lpstr>
      <vt:lpstr>Udit Kumar Chatterjee</vt:lpstr>
      <vt:lpstr>Faraz Ahmed Qureshi</vt:lpstr>
      <vt:lpstr>Daniel Madhadha</vt:lpstr>
      <vt:lpstr>João Evangelista da Silva Santo</vt:lpstr>
      <vt:lpstr>Jennifer Quack</vt:lpstr>
      <vt:lpstr>Navid Esmaeilzadeh</vt:lpstr>
      <vt:lpstr>Muhammad Nauman</vt:lpstr>
      <vt:lpstr>Miguel Angel Franco García</vt:lpstr>
      <vt:lpstr>Jardiel Euflázio</vt:lpstr>
      <vt:lpstr>Moahmed Helmy</vt:lpstr>
      <vt:lpstr>Yasir Ali Khan</vt:lpstr>
      <vt:lpstr>Aditya Kumar Darak</vt:lpstr>
      <vt:lpstr>Tolga Demirci</vt:lpstr>
      <vt:lpstr>Juliano Santos Lima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Md. Ismail Hosen</dc:creator>
  <cp:lastModifiedBy>Md. Ismail Hosen</cp:lastModifiedBy>
  <dcterms:created xsi:type="dcterms:W3CDTF">2022-05-30T18:42:28Z</dcterms:created>
  <dcterms:modified xsi:type="dcterms:W3CDTF">2023-07-23T16:00:14Z</dcterms:modified>
</cp:coreProperties>
</file>